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i/Desktop/"/>
    </mc:Choice>
  </mc:AlternateContent>
  <xr:revisionPtr revIDLastSave="0" documentId="8_{D1388AC9-565F-E44E-AFB5-9C449B36B35F}" xr6:coauthVersionLast="47" xr6:coauthVersionMax="47" xr10:uidLastSave="{00000000-0000-0000-0000-000000000000}"/>
  <bookViews>
    <workbookView xWindow="680" yWindow="660" windowWidth="28040" windowHeight="17160" xr2:uid="{E44B5C4C-F08E-3F43-92EC-9F4C0D0CBA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9" i="1"/>
  <c r="G12" i="1"/>
  <c r="G15" i="1"/>
  <c r="G18" i="1"/>
  <c r="G3" i="1"/>
  <c r="F6" i="1"/>
  <c r="F9" i="1"/>
  <c r="F12" i="1"/>
  <c r="F15" i="1"/>
  <c r="F18" i="1"/>
  <c r="F3" i="1"/>
</calcChain>
</file>

<file path=xl/sharedStrings.xml><?xml version="1.0" encoding="utf-8"?>
<sst xmlns="http://schemas.openxmlformats.org/spreadsheetml/2006/main" count="6" uniqueCount="6">
  <si>
    <t>CMP Value</t>
  </si>
  <si>
    <t>PWM Period</t>
  </si>
  <si>
    <t>Distance (m)</t>
  </si>
  <si>
    <t>Time (s)</t>
  </si>
  <si>
    <t>Avg Time (s)</t>
  </si>
  <si>
    <t>Speed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</si>
</sst>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vs CMP value for PWM</a:t>
            </a:r>
            <a:r>
              <a:rPr lang="en-US" baseline="0"/>
              <a:t> Period = 90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Speed (m/s)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7"/>
            <c:dispRSqr val="0"/>
            <c:dispEq val="1"/>
            <c:trendlineLbl>
              <c:layout>
                <c:manualLayout>
                  <c:x val="0.10594035205924432"/>
                  <c:y val="0.1835980995143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speed = -0.0273(CMP) + 0.8911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Sheet1!$D$3:$D$20</c:f>
              <c:numCache>
                <c:formatCode>General</c:formatCode>
                <c:ptCount val="18"/>
                <c:pt idx="0">
                  <c:v>0</c:v>
                </c:pt>
                <c:pt idx="3">
                  <c:v>5</c:v>
                </c:pt>
                <c:pt idx="6">
                  <c:v>10</c:v>
                </c:pt>
                <c:pt idx="9">
                  <c:v>15</c:v>
                </c:pt>
                <c:pt idx="12">
                  <c:v>20</c:v>
                </c:pt>
                <c:pt idx="15">
                  <c:v>25</c:v>
                </c:pt>
              </c:numCache>
            </c:numRef>
          </c:xVal>
          <c:yVal>
            <c:numRef>
              <c:f>Sheet1!$G$3:$G$20</c:f>
              <c:numCache>
                <c:formatCode>General</c:formatCode>
                <c:ptCount val="18"/>
                <c:pt idx="0">
                  <c:v>0.90452261306532666</c:v>
                </c:pt>
                <c:pt idx="3">
                  <c:v>0.76857386848847131</c:v>
                </c:pt>
                <c:pt idx="6">
                  <c:v>0.62849162011173187</c:v>
                </c:pt>
                <c:pt idx="9">
                  <c:v>0.40522287257991896</c:v>
                </c:pt>
                <c:pt idx="12">
                  <c:v>0.34749034749034746</c:v>
                </c:pt>
                <c:pt idx="15">
                  <c:v>0.24779735682819382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A1-A647-AD54-3CC48D8F2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464703"/>
        <c:axId val="1964195839"/>
      </c:scatterChart>
      <c:valAx>
        <c:axId val="196446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CMP</a:t>
                </a:r>
                <a:r>
                  <a:rPr lang="en-GB" baseline="0"/>
                  <a:t> value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195839"/>
        <c:crosses val="autoZero"/>
        <c:crossBetween val="midCat"/>
      </c:valAx>
      <c:valAx>
        <c:axId val="196419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464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</xdr:colOff>
      <xdr:row>21</xdr:row>
      <xdr:rowOff>88900</xdr:rowOff>
    </xdr:from>
    <xdr:to>
      <xdr:col>6</xdr:col>
      <xdr:colOff>774700</xdr:colOff>
      <xdr:row>34</xdr:row>
      <xdr:rowOff>35474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5DB3A6-5BFF-FD9A-DA13-7B7A2C23C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0C0C-16A5-CD4D-8CBA-325C79473D67}">
  <dimension ref="B2:G20"/>
  <sheetViews>
    <sheetView showGridLines="0" tabSelected="1" zoomScale="91" workbookViewId="0">
      <selection activeCell="K21" sqref="K21"/>
    </sheetView>
  </sheetViews>
  <sheetFormatPr baseColWidth="10" defaultRowHeight="16" x14ac:dyDescent="0.2"/>
  <cols>
    <col min="1" max="1" width="3.1640625" customWidth="1"/>
    <col min="2" max="7" width="13.1640625" customWidth="1"/>
  </cols>
  <sheetData>
    <row r="2" spans="2:7" x14ac:dyDescent="0.2">
      <c r="B2" s="3" t="s">
        <v>1</v>
      </c>
      <c r="C2" s="3" t="s">
        <v>2</v>
      </c>
      <c r="D2" s="3" t="s">
        <v>0</v>
      </c>
      <c r="E2" s="3" t="s">
        <v>3</v>
      </c>
      <c r="F2" s="4" t="s">
        <v>4</v>
      </c>
      <c r="G2" s="4" t="s">
        <v>5</v>
      </c>
    </row>
    <row r="3" spans="2:7" x14ac:dyDescent="0.2">
      <c r="B3" s="1">
        <v>90</v>
      </c>
      <c r="C3" s="1">
        <v>3</v>
      </c>
      <c r="D3" s="1">
        <v>0</v>
      </c>
      <c r="E3" s="2">
        <v>3.19</v>
      </c>
      <c r="F3" s="5">
        <f>AVERAGE(E3:E5)</f>
        <v>3.3166666666666664</v>
      </c>
      <c r="G3" s="8">
        <f>3/F3</f>
        <v>0.90452261306532666</v>
      </c>
    </row>
    <row r="4" spans="2:7" x14ac:dyDescent="0.2">
      <c r="B4" s="1"/>
      <c r="C4" s="1"/>
      <c r="D4" s="1"/>
      <c r="E4" s="2">
        <v>3.39</v>
      </c>
      <c r="F4" s="6"/>
      <c r="G4" s="6"/>
    </row>
    <row r="5" spans="2:7" x14ac:dyDescent="0.2">
      <c r="B5" s="1"/>
      <c r="C5" s="1"/>
      <c r="D5" s="1"/>
      <c r="E5" s="2">
        <v>3.37</v>
      </c>
      <c r="F5" s="7"/>
      <c r="G5" s="7"/>
    </row>
    <row r="6" spans="2:7" x14ac:dyDescent="0.2">
      <c r="B6" s="1"/>
      <c r="C6" s="1"/>
      <c r="D6" s="1">
        <v>5</v>
      </c>
      <c r="E6" s="2">
        <v>3.84</v>
      </c>
      <c r="F6" s="5">
        <f t="shared" ref="F6" si="0">AVERAGE(E6:E8)</f>
        <v>3.9033333333333338</v>
      </c>
      <c r="G6" s="8">
        <f t="shared" ref="G6" si="1">3/F6</f>
        <v>0.76857386848847131</v>
      </c>
    </row>
    <row r="7" spans="2:7" x14ac:dyDescent="0.2">
      <c r="B7" s="1"/>
      <c r="C7" s="1"/>
      <c r="D7" s="1"/>
      <c r="E7" s="2">
        <v>3.83</v>
      </c>
      <c r="F7" s="6"/>
      <c r="G7" s="6"/>
    </row>
    <row r="8" spans="2:7" x14ac:dyDescent="0.2">
      <c r="B8" s="1"/>
      <c r="C8" s="1"/>
      <c r="D8" s="1"/>
      <c r="E8" s="2">
        <v>4.04</v>
      </c>
      <c r="F8" s="7"/>
      <c r="G8" s="7"/>
    </row>
    <row r="9" spans="2:7" x14ac:dyDescent="0.2">
      <c r="B9" s="1"/>
      <c r="C9" s="1"/>
      <c r="D9" s="1">
        <v>10</v>
      </c>
      <c r="E9" s="2">
        <v>4.75</v>
      </c>
      <c r="F9" s="5">
        <f t="shared" ref="F9" si="2">AVERAGE(E9:E11)</f>
        <v>4.7733333333333334</v>
      </c>
      <c r="G9" s="8">
        <f t="shared" ref="G9" si="3">3/F9</f>
        <v>0.62849162011173187</v>
      </c>
    </row>
    <row r="10" spans="2:7" x14ac:dyDescent="0.2">
      <c r="B10" s="1"/>
      <c r="C10" s="1"/>
      <c r="D10" s="1"/>
      <c r="E10" s="2">
        <v>4.92</v>
      </c>
      <c r="F10" s="6"/>
      <c r="G10" s="6"/>
    </row>
    <row r="11" spans="2:7" x14ac:dyDescent="0.2">
      <c r="B11" s="1"/>
      <c r="C11" s="1"/>
      <c r="D11" s="1"/>
      <c r="E11" s="2">
        <v>4.6500000000000004</v>
      </c>
      <c r="F11" s="7"/>
      <c r="G11" s="7"/>
    </row>
    <row r="12" spans="2:7" x14ac:dyDescent="0.2">
      <c r="B12" s="1"/>
      <c r="C12" s="1"/>
      <c r="D12" s="1">
        <v>15</v>
      </c>
      <c r="E12" s="2">
        <v>7.31</v>
      </c>
      <c r="F12" s="5">
        <f t="shared" ref="F12" si="4">AVERAGE(E12:E14)</f>
        <v>7.4033333333333333</v>
      </c>
      <c r="G12" s="8">
        <f t="shared" ref="G12" si="5">3/F12</f>
        <v>0.40522287257991896</v>
      </c>
    </row>
    <row r="13" spans="2:7" x14ac:dyDescent="0.2">
      <c r="B13" s="1"/>
      <c r="C13" s="1"/>
      <c r="D13" s="1"/>
      <c r="E13" s="2">
        <v>7.48</v>
      </c>
      <c r="F13" s="6"/>
      <c r="G13" s="6"/>
    </row>
    <row r="14" spans="2:7" x14ac:dyDescent="0.2">
      <c r="B14" s="1"/>
      <c r="C14" s="1"/>
      <c r="D14" s="1"/>
      <c r="E14" s="2">
        <v>7.42</v>
      </c>
      <c r="F14" s="7"/>
      <c r="G14" s="7"/>
    </row>
    <row r="15" spans="2:7" x14ac:dyDescent="0.2">
      <c r="B15" s="1"/>
      <c r="C15" s="1"/>
      <c r="D15" s="1">
        <v>20</v>
      </c>
      <c r="E15" s="2">
        <v>8.98</v>
      </c>
      <c r="F15" s="5">
        <f t="shared" ref="F15" si="6">AVERAGE(E15:E17)</f>
        <v>8.6333333333333346</v>
      </c>
      <c r="G15" s="8">
        <f t="shared" ref="G15" si="7">3/F15</f>
        <v>0.34749034749034746</v>
      </c>
    </row>
    <row r="16" spans="2:7" x14ac:dyDescent="0.2">
      <c r="B16" s="1"/>
      <c r="C16" s="1"/>
      <c r="D16" s="1"/>
      <c r="E16" s="2">
        <v>8.51</v>
      </c>
      <c r="F16" s="6"/>
      <c r="G16" s="6"/>
    </row>
    <row r="17" spans="2:7" x14ac:dyDescent="0.2">
      <c r="B17" s="1"/>
      <c r="C17" s="1"/>
      <c r="D17" s="1"/>
      <c r="E17" s="2">
        <v>8.41</v>
      </c>
      <c r="F17" s="7"/>
      <c r="G17" s="7"/>
    </row>
    <row r="18" spans="2:7" x14ac:dyDescent="0.2">
      <c r="B18" s="1"/>
      <c r="C18" s="1"/>
      <c r="D18" s="1">
        <v>25</v>
      </c>
      <c r="E18" s="2">
        <v>12.5</v>
      </c>
      <c r="F18" s="5">
        <f t="shared" ref="F18" si="8">AVERAGE(E18:E20)</f>
        <v>12.106666666666667</v>
      </c>
      <c r="G18" s="8">
        <f t="shared" ref="G18" si="9">3/F18</f>
        <v>0.24779735682819382</v>
      </c>
    </row>
    <row r="19" spans="2:7" x14ac:dyDescent="0.2">
      <c r="B19" s="1"/>
      <c r="C19" s="1"/>
      <c r="D19" s="1"/>
      <c r="E19" s="2">
        <v>11.99</v>
      </c>
      <c r="F19" s="6"/>
      <c r="G19" s="6"/>
    </row>
    <row r="20" spans="2:7" x14ac:dyDescent="0.2">
      <c r="B20" s="1"/>
      <c r="C20" s="1"/>
      <c r="D20" s="1"/>
      <c r="E20" s="2">
        <v>11.83</v>
      </c>
      <c r="F20" s="7"/>
      <c r="G20" s="7"/>
    </row>
  </sheetData>
  <mergeCells count="20">
    <mergeCell ref="G3:G5"/>
    <mergeCell ref="G6:G8"/>
    <mergeCell ref="G9:G11"/>
    <mergeCell ref="G12:G14"/>
    <mergeCell ref="G15:G17"/>
    <mergeCell ref="G18:G20"/>
    <mergeCell ref="B3:B20"/>
    <mergeCell ref="C3:C20"/>
    <mergeCell ref="F3:F5"/>
    <mergeCell ref="F6:F8"/>
    <mergeCell ref="F9:F11"/>
    <mergeCell ref="F12:F14"/>
    <mergeCell ref="F15:F17"/>
    <mergeCell ref="F18:F20"/>
    <mergeCell ref="D3:D5"/>
    <mergeCell ref="D6:D8"/>
    <mergeCell ref="D9:D11"/>
    <mergeCell ref="D12:D14"/>
    <mergeCell ref="D15:D17"/>
    <mergeCell ref="D18:D20"/>
  </mergeCells>
  <pageMargins left="0.7" right="0.7" top="0.75" bottom="0.75" header="0.3" footer="0.3"/>
  <ignoredErrors>
    <ignoredError sqref="F3 F6 F9 F12 F15 F1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Taylor</dc:creator>
  <cp:lastModifiedBy>Madison Taylor</cp:lastModifiedBy>
  <dcterms:created xsi:type="dcterms:W3CDTF">2026-09-22T02:51:36Z</dcterms:created>
  <dcterms:modified xsi:type="dcterms:W3CDTF">2026-09-22T08:24:29Z</dcterms:modified>
</cp:coreProperties>
</file>