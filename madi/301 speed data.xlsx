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di/Desktop/COMPSYS301_team2/madi/"/>
    </mc:Choice>
  </mc:AlternateContent>
  <xr:revisionPtr revIDLastSave="0" documentId="13_ncr:1_{575C29E3-22E2-9745-96EF-40EC277BEA9E}" xr6:coauthVersionLast="47" xr6:coauthVersionMax="47" xr10:uidLastSave="{00000000-0000-0000-0000-000000000000}"/>
  <bookViews>
    <workbookView xWindow="680" yWindow="660" windowWidth="28040" windowHeight="17160" activeTab="3" xr2:uid="{E44B5C4C-F08E-3F43-92EC-9F4C0D0CBAA3}"/>
  </bookViews>
  <sheets>
    <sheet name="cmo speed" sheetId="1" r:id="rId1"/>
    <sheet name="quad encoder distance " sheetId="4" r:id="rId2"/>
    <sheet name="benchmark speed quad values" sheetId="5" r:id="rId3"/>
    <sheet name="30 september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6" i="6" l="1"/>
  <c r="K4" i="6"/>
  <c r="G30" i="6"/>
  <c r="E30" i="6"/>
  <c r="H30" i="6" s="1"/>
  <c r="H21" i="6"/>
  <c r="H24" i="6"/>
  <c r="G27" i="6"/>
  <c r="E27" i="6"/>
  <c r="H27" i="6" s="1"/>
  <c r="G24" i="6"/>
  <c r="E24" i="6"/>
  <c r="E21" i="6"/>
  <c r="H15" i="6"/>
  <c r="G15" i="6"/>
  <c r="G18" i="6"/>
  <c r="E15" i="6"/>
  <c r="E18" i="6"/>
  <c r="G6" i="6"/>
  <c r="G9" i="6"/>
  <c r="G12" i="6"/>
  <c r="G3" i="6"/>
  <c r="E12" i="6"/>
  <c r="E9" i="6"/>
  <c r="H9" i="6" s="1"/>
  <c r="E6" i="6"/>
  <c r="H6" i="6" s="1"/>
  <c r="E3" i="6"/>
  <c r="G4" i="5"/>
  <c r="D3" i="5"/>
  <c r="D12" i="5"/>
  <c r="D9" i="5"/>
  <c r="D6" i="5"/>
  <c r="G4" i="4"/>
  <c r="D6" i="4"/>
  <c r="D9" i="4"/>
  <c r="D12" i="4"/>
  <c r="D3" i="4"/>
  <c r="F6" i="1"/>
  <c r="G6" i="1" s="1"/>
  <c r="F9" i="1"/>
  <c r="G9" i="1" s="1"/>
  <c r="F12" i="1"/>
  <c r="G12" i="1" s="1"/>
  <c r="F15" i="1"/>
  <c r="G15" i="1" s="1"/>
  <c r="F18" i="1"/>
  <c r="G18" i="1" s="1"/>
  <c r="F3" i="1"/>
  <c r="G3" i="1" s="1"/>
  <c r="H18" i="6" l="1"/>
  <c r="H3" i="6"/>
  <c r="H12" i="6"/>
</calcChain>
</file>

<file path=xl/sharedStrings.xml><?xml version="1.0" encoding="utf-8"?>
<sst xmlns="http://schemas.openxmlformats.org/spreadsheetml/2006/main" count="29" uniqueCount="18">
  <si>
    <t>CMP Value</t>
  </si>
  <si>
    <t>PWM Period</t>
  </si>
  <si>
    <t>Distance (m)</t>
  </si>
  <si>
    <t>Time (s)</t>
  </si>
  <si>
    <t>Avg Time (s)</t>
  </si>
  <si>
    <t>Speed (m/s)</t>
  </si>
  <si>
    <t>Conditions:</t>
  </si>
  <si>
    <t>Batteries were not fully charged</t>
  </si>
  <si>
    <t>No line following so the robot was going quite curved - we were manually straightening</t>
  </si>
  <si>
    <t>Quad encoder #</t>
  </si>
  <si>
    <t>Distance</t>
  </si>
  <si>
    <t>Avg Distance</t>
  </si>
  <si>
    <t>Quad</t>
  </si>
  <si>
    <t>Time</t>
  </si>
  <si>
    <t>Average time</t>
  </si>
  <si>
    <t>Speed</t>
  </si>
  <si>
    <t>Compare value</t>
  </si>
  <si>
    <t>Average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</si>
</sst>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rgb="FFC5D3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vs CMP value for PWM</a:t>
            </a:r>
            <a:r>
              <a:rPr lang="en-US" baseline="0"/>
              <a:t> Period = 90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'cmo speed'!$G$2</c:f>
              <c:strCache>
                <c:ptCount val="1"/>
                <c:pt idx="0">
                  <c:v>Speed (m/s)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7"/>
            <c:dispRSqr val="0"/>
            <c:dispEq val="1"/>
            <c:trendlineLbl>
              <c:layout>
                <c:manualLayout>
                  <c:x val="0.10594035205924432"/>
                  <c:y val="0.1835980995143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speed = -0.0273(CMP) + 0.8911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'cmo speed'!$D$3:$D$20</c:f>
              <c:numCache>
                <c:formatCode>General</c:formatCode>
                <c:ptCount val="18"/>
                <c:pt idx="0">
                  <c:v>0</c:v>
                </c:pt>
                <c:pt idx="3">
                  <c:v>5</c:v>
                </c:pt>
                <c:pt idx="6">
                  <c:v>10</c:v>
                </c:pt>
                <c:pt idx="9">
                  <c:v>15</c:v>
                </c:pt>
                <c:pt idx="12">
                  <c:v>20</c:v>
                </c:pt>
                <c:pt idx="15">
                  <c:v>25</c:v>
                </c:pt>
              </c:numCache>
            </c:numRef>
          </c:xVal>
          <c:yVal>
            <c:numRef>
              <c:f>'cmo speed'!$G$3:$G$20</c:f>
              <c:numCache>
                <c:formatCode>General</c:formatCode>
                <c:ptCount val="18"/>
                <c:pt idx="0">
                  <c:v>0.90452261306532666</c:v>
                </c:pt>
                <c:pt idx="3">
                  <c:v>0.76857386848847131</c:v>
                </c:pt>
                <c:pt idx="6">
                  <c:v>0.62849162011173187</c:v>
                </c:pt>
                <c:pt idx="9">
                  <c:v>0.40522287257991896</c:v>
                </c:pt>
                <c:pt idx="12">
                  <c:v>0.34749034749034746</c:v>
                </c:pt>
                <c:pt idx="15">
                  <c:v>0.24779735682819382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A1-A647-AD54-3CC48D8F2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464703"/>
        <c:axId val="1964195839"/>
      </c:scatterChart>
      <c:valAx>
        <c:axId val="196446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CMP</a:t>
                </a:r>
                <a:r>
                  <a:rPr lang="en-GB" baseline="0"/>
                  <a:t> value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195839"/>
        <c:crosses val="autoZero"/>
        <c:crossBetween val="midCat"/>
      </c:valAx>
      <c:valAx>
        <c:axId val="196419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Speed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464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  <a:r>
              <a:rPr lang="en-US" baseline="0"/>
              <a:t> travelled vs quad encoder value</a:t>
            </a:r>
            <a:endParaRPr lang="en-US"/>
          </a:p>
        </c:rich>
      </c:tx>
      <c:layout>
        <c:manualLayout>
          <c:xMode val="edge"/>
          <c:yMode val="edge"/>
          <c:x val="6.1681959176590521E-2"/>
          <c:y val="2.9154507795769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'quad encoder distance '!$D$2</c:f>
              <c:strCache>
                <c:ptCount val="1"/>
                <c:pt idx="0">
                  <c:v>Avg Distance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50"/>
            <c:backward val="250"/>
            <c:dispRSqr val="0"/>
            <c:dispEq val="1"/>
            <c:trendlineLbl>
              <c:layout>
                <c:manualLayout>
                  <c:x val="0.15770346630224941"/>
                  <c:y val="-0.1272108356822097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distance = 0.001(quad) + 0.0483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'quad encoder distance '!$B$3:$B$14</c:f>
              <c:numCache>
                <c:formatCode>General</c:formatCode>
                <c:ptCount val="12"/>
                <c:pt idx="0">
                  <c:v>250</c:v>
                </c:pt>
                <c:pt idx="3">
                  <c:v>500</c:v>
                </c:pt>
                <c:pt idx="6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'quad encoder distance '!$D$3:$D$14</c:f>
              <c:numCache>
                <c:formatCode>General</c:formatCode>
                <c:ptCount val="12"/>
                <c:pt idx="0">
                  <c:v>0.27666666666666667</c:v>
                </c:pt>
                <c:pt idx="3">
                  <c:v>0.54666666666666675</c:v>
                </c:pt>
                <c:pt idx="6">
                  <c:v>0.77833333333333332</c:v>
                </c:pt>
                <c:pt idx="9">
                  <c:v>1.0033333333333332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C-C140-9A24-2C878967A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083968"/>
        <c:axId val="1248096512"/>
      </c:scatterChart>
      <c:valAx>
        <c:axId val="124808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Quad encoder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96512"/>
        <c:crosses val="autoZero"/>
        <c:crossBetween val="midCat"/>
      </c:valAx>
      <c:valAx>
        <c:axId val="12480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Distance</a:t>
                </a:r>
                <a:r>
                  <a:rPr lang="en-GB" baseline="0"/>
                  <a:t> travelled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8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  <a:r>
              <a:rPr lang="en-US" baseline="0"/>
              <a:t> travelled vs quad encoder value</a:t>
            </a:r>
            <a:endParaRPr lang="en-US"/>
          </a:p>
        </c:rich>
      </c:tx>
      <c:layout>
        <c:manualLayout>
          <c:xMode val="edge"/>
          <c:yMode val="edge"/>
          <c:x val="6.1681959176590521E-2"/>
          <c:y val="2.9154507795769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'benchmark speed quad values'!$D$2</c:f>
              <c:strCache>
                <c:ptCount val="1"/>
                <c:pt idx="0">
                  <c:v>Avg Distance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00"/>
            <c:backward val="100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9594097645962043E-2"/>
                  <c:y val="-0.1459477493496149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'benchmark speed quad values'!$B$3:$B$14</c:f>
              <c:numCache>
                <c:formatCode>General</c:formatCode>
                <c:ptCount val="12"/>
                <c:pt idx="3">
                  <c:v>505</c:v>
                </c:pt>
                <c:pt idx="9">
                  <c:v>1010</c:v>
                </c:pt>
              </c:numCache>
            </c:numRef>
          </c:xVal>
          <c:yVal>
            <c:numRef>
              <c:f>'benchmark speed quad values'!$D$3:$D$14</c:f>
              <c:numCache>
                <c:formatCode>General</c:formatCode>
                <c:ptCount val="12"/>
                <c:pt idx="0">
                  <c:v>0</c:v>
                </c:pt>
                <c:pt idx="3">
                  <c:v>0.5</c:v>
                </c:pt>
                <c:pt idx="6">
                  <c:v>0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52-2546-BCF6-B38F2F296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083968"/>
        <c:axId val="1248096512"/>
      </c:scatterChart>
      <c:valAx>
        <c:axId val="124808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Quad encoder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96512"/>
        <c:crosses val="autoZero"/>
        <c:crossBetween val="midCat"/>
      </c:valAx>
      <c:valAx>
        <c:axId val="12480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Distance</a:t>
                </a:r>
                <a:r>
                  <a:rPr lang="en-GB" baseline="0"/>
                  <a:t> travelled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8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  <a:r>
              <a:rPr lang="en-US" baseline="0"/>
              <a:t> vs quad encoder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'30 september'!$E$2</c:f>
              <c:strCache>
                <c:ptCount val="1"/>
                <c:pt idx="0">
                  <c:v>Avg Distance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500"/>
            <c:backward val="250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4096631721636069"/>
                  <c:y val="-0.33153424264416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'30 september'!$C$3:$C$32</c:f>
              <c:numCache>
                <c:formatCode>General</c:formatCode>
                <c:ptCount val="30"/>
                <c:pt idx="0">
                  <c:v>300</c:v>
                </c:pt>
                <c:pt idx="3">
                  <c:v>600</c:v>
                </c:pt>
                <c:pt idx="6">
                  <c:v>900</c:v>
                </c:pt>
                <c:pt idx="9">
                  <c:v>1200</c:v>
                </c:pt>
                <c:pt idx="12">
                  <c:v>1500</c:v>
                </c:pt>
                <c:pt idx="15">
                  <c:v>1800</c:v>
                </c:pt>
                <c:pt idx="18">
                  <c:v>1439</c:v>
                </c:pt>
                <c:pt idx="21">
                  <c:v>1550</c:v>
                </c:pt>
                <c:pt idx="24">
                  <c:v>1661</c:v>
                </c:pt>
                <c:pt idx="27">
                  <c:v>1328</c:v>
                </c:pt>
              </c:numCache>
            </c:numRef>
          </c:xVal>
          <c:yVal>
            <c:numRef>
              <c:f>'30 september'!$E$3:$E$32</c:f>
              <c:numCache>
                <c:formatCode>General</c:formatCode>
                <c:ptCount val="30"/>
                <c:pt idx="0">
                  <c:v>0.27166666666666667</c:v>
                </c:pt>
                <c:pt idx="3">
                  <c:v>0.53166666666666673</c:v>
                </c:pt>
                <c:pt idx="6">
                  <c:v>0.79333333333333333</c:v>
                </c:pt>
                <c:pt idx="9">
                  <c:v>1.0449999999999999</c:v>
                </c:pt>
                <c:pt idx="12">
                  <c:v>1.3216666666666665</c:v>
                </c:pt>
                <c:pt idx="15">
                  <c:v>1.5883333333333332</c:v>
                </c:pt>
                <c:pt idx="18">
                  <c:v>1.27</c:v>
                </c:pt>
                <c:pt idx="21">
                  <c:v>1.3666666666666669</c:v>
                </c:pt>
                <c:pt idx="24">
                  <c:v>1.4683333333333335</c:v>
                </c:pt>
                <c:pt idx="27">
                  <c:v>1.171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D1-9D43-8C15-3347DD31C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7459711"/>
        <c:axId val="1147466879"/>
      </c:scatterChart>
      <c:valAx>
        <c:axId val="11474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Quad</a:t>
                </a:r>
                <a:r>
                  <a:rPr lang="en-GB" baseline="0"/>
                  <a:t> encoder value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466879"/>
        <c:crosses val="autoZero"/>
        <c:crossBetween val="midCat"/>
      </c:valAx>
      <c:valAx>
        <c:axId val="114746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459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69850</xdr:colOff>
      <xdr:row>21</xdr:row>
      <xdr:rowOff>88900</xdr:rowOff>
    </xdr:from>
    <xdr:to>
      <xdr:col>6</xdr:col>
      <xdr:colOff>774700</xdr:colOff>
      <xdr:row>34</xdr:row>
      <xdr:rowOff>35474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5DB3A6-5BFF-FD9A-DA13-7B7A2C23C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139699</xdr:rowOff>
    </xdr:from>
    <xdr:to>
      <xdr:col>4</xdr:col>
      <xdr:colOff>30480</xdr:colOff>
      <xdr:row>28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75FED5-9D4B-1B6A-6BDD-406B16CE2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139699</xdr:rowOff>
    </xdr:from>
    <xdr:to>
      <xdr:col>4</xdr:col>
      <xdr:colOff>30480</xdr:colOff>
      <xdr:row>28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79AB6-7B38-DE4F-81A3-96E613050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128863</xdr:colOff>
      <xdr:row>34</xdr:row>
      <xdr:rowOff>68156</xdr:rowOff>
    </xdr:from>
    <xdr:to>
      <xdr:col>7</xdr:col>
      <xdr:colOff>31093</xdr:colOff>
      <xdr:row>55</xdr:row>
      <xdr:rowOff>167024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05CD0D-BC69-2692-4392-9570D612F9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0C0C-16A5-CD4D-8CBA-325C79473D67}">
  <dimension ref="B2:I20"/>
  <sheetViews>
    <sheetView showGridLines="0" zoomScale="91" workbookViewId="0">
      <selection activeCell="K4" sqref="K4"/>
    </sheetView>
  </sheetViews>
  <sheetFormatPr baseColWidth="10" defaultRowHeight="16" x14ac:dyDescent="0.2"/>
  <cols>
    <col min="1" max="1" width="3.1640625" customWidth="1"/>
    <col min="2" max="7" width="13.1640625" customWidth="1"/>
    <col min="9" max="9" width="69.5" customWidth="1"/>
  </cols>
  <sheetData>
    <row r="2" spans="2:9" x14ac:dyDescent="0.2">
      <c r="B2" s="3" t="s">
        <v>1</v>
      </c>
      <c r="C2" s="3" t="s">
        <v>2</v>
      </c>
      <c r="D2" s="3" t="s">
        <v>0</v>
      </c>
      <c r="E2" s="3" t="s">
        <v>3</v>
      </c>
      <c r="F2" s="3" t="s">
        <v>4</v>
      </c>
      <c r="G2" s="3" t="s">
        <v>5</v>
      </c>
      <c r="I2" s="5" t="s">
        <v>6</v>
      </c>
    </row>
    <row r="3" spans="2:9" x14ac:dyDescent="0.2">
      <c r="B3" s="8">
        <v>90</v>
      </c>
      <c r="C3" s="8">
        <v>3</v>
      </c>
      <c r="D3" s="8">
        <v>0</v>
      </c>
      <c r="E3" s="2">
        <v>3.19</v>
      </c>
      <c r="F3" s="12">
        <f>AVERAGE(E3:E5)</f>
        <v>3.3166666666666664</v>
      </c>
      <c r="G3" s="9">
        <f>3/F3</f>
        <v>0.90452261306532666</v>
      </c>
      <c r="I3" s="4" t="s">
        <v>7</v>
      </c>
    </row>
    <row r="4" spans="2:9" x14ac:dyDescent="0.2">
      <c r="B4" s="8"/>
      <c r="C4" s="8"/>
      <c r="D4" s="8"/>
      <c r="E4" s="2">
        <v>3.39</v>
      </c>
      <c r="F4" s="10"/>
      <c r="G4" s="10"/>
      <c r="I4" t="s">
        <v>8</v>
      </c>
    </row>
    <row r="5" spans="2:9" x14ac:dyDescent="0.2">
      <c r="B5" s="8"/>
      <c r="C5" s="8"/>
      <c r="D5" s="8"/>
      <c r="E5" s="2">
        <v>3.37</v>
      </c>
      <c r="F5" s="11"/>
      <c r="G5" s="11"/>
    </row>
    <row r="6" spans="2:9" x14ac:dyDescent="0.2">
      <c r="B6" s="8"/>
      <c r="C6" s="8"/>
      <c r="D6" s="8">
        <v>5</v>
      </c>
      <c r="E6" s="2">
        <v>3.84</v>
      </c>
      <c r="F6" s="12">
        <f t="shared" ref="F6" si="0">AVERAGE(E6:E8)</f>
        <v>3.9033333333333338</v>
      </c>
      <c r="G6" s="9">
        <f t="shared" ref="G6" si="1">3/F6</f>
        <v>0.76857386848847131</v>
      </c>
    </row>
    <row r="7" spans="2:9" x14ac:dyDescent="0.2">
      <c r="B7" s="8"/>
      <c r="C7" s="8"/>
      <c r="D7" s="8"/>
      <c r="E7" s="2">
        <v>3.83</v>
      </c>
      <c r="F7" s="10"/>
      <c r="G7" s="10"/>
    </row>
    <row r="8" spans="2:9" x14ac:dyDescent="0.2">
      <c r="B8" s="8"/>
      <c r="C8" s="8"/>
      <c r="D8" s="8"/>
      <c r="E8" s="2">
        <v>4.04</v>
      </c>
      <c r="F8" s="11"/>
      <c r="G8" s="11"/>
    </row>
    <row r="9" spans="2:9" x14ac:dyDescent="0.2">
      <c r="B9" s="8"/>
      <c r="C9" s="8"/>
      <c r="D9" s="8">
        <v>10</v>
      </c>
      <c r="E9" s="2">
        <v>4.75</v>
      </c>
      <c r="F9" s="12">
        <f t="shared" ref="F9" si="2">AVERAGE(E9:E11)</f>
        <v>4.7733333333333334</v>
      </c>
      <c r="G9" s="9">
        <f t="shared" ref="G9" si="3">3/F9</f>
        <v>0.62849162011173187</v>
      </c>
    </row>
    <row r="10" spans="2:9" x14ac:dyDescent="0.2">
      <c r="B10" s="8"/>
      <c r="C10" s="8"/>
      <c r="D10" s="8"/>
      <c r="E10" s="2">
        <v>4.92</v>
      </c>
      <c r="F10" s="10"/>
      <c r="G10" s="10"/>
    </row>
    <row r="11" spans="2:9" x14ac:dyDescent="0.2">
      <c r="B11" s="8"/>
      <c r="C11" s="8"/>
      <c r="D11" s="8"/>
      <c r="E11" s="2">
        <v>4.6500000000000004</v>
      </c>
      <c r="F11" s="11"/>
      <c r="G11" s="11"/>
    </row>
    <row r="12" spans="2:9" x14ac:dyDescent="0.2">
      <c r="B12" s="8"/>
      <c r="C12" s="8"/>
      <c r="D12" s="8">
        <v>15</v>
      </c>
      <c r="E12" s="2">
        <v>7.31</v>
      </c>
      <c r="F12" s="12">
        <f t="shared" ref="F12" si="4">AVERAGE(E12:E14)</f>
        <v>7.4033333333333333</v>
      </c>
      <c r="G12" s="9">
        <f t="shared" ref="G12" si="5">3/F12</f>
        <v>0.40522287257991896</v>
      </c>
    </row>
    <row r="13" spans="2:9" x14ac:dyDescent="0.2">
      <c r="B13" s="8"/>
      <c r="C13" s="8"/>
      <c r="D13" s="8"/>
      <c r="E13" s="2">
        <v>7.48</v>
      </c>
      <c r="F13" s="10"/>
      <c r="G13" s="10"/>
    </row>
    <row r="14" spans="2:9" x14ac:dyDescent="0.2">
      <c r="B14" s="8"/>
      <c r="C14" s="8"/>
      <c r="D14" s="8"/>
      <c r="E14" s="2">
        <v>7.42</v>
      </c>
      <c r="F14" s="11"/>
      <c r="G14" s="11"/>
    </row>
    <row r="15" spans="2:9" x14ac:dyDescent="0.2">
      <c r="B15" s="8"/>
      <c r="C15" s="8"/>
      <c r="D15" s="8">
        <v>20</v>
      </c>
      <c r="E15" s="2">
        <v>8.98</v>
      </c>
      <c r="F15" s="12">
        <f t="shared" ref="F15" si="6">AVERAGE(E15:E17)</f>
        <v>8.6333333333333346</v>
      </c>
      <c r="G15" s="9">
        <f t="shared" ref="G15" si="7">3/F15</f>
        <v>0.34749034749034746</v>
      </c>
    </row>
    <row r="16" spans="2:9" x14ac:dyDescent="0.2">
      <c r="B16" s="8"/>
      <c r="C16" s="8"/>
      <c r="D16" s="8"/>
      <c r="E16" s="2">
        <v>8.51</v>
      </c>
      <c r="F16" s="10"/>
      <c r="G16" s="10"/>
    </row>
    <row r="17" spans="2:7" x14ac:dyDescent="0.2">
      <c r="B17" s="8"/>
      <c r="C17" s="8"/>
      <c r="D17" s="8"/>
      <c r="E17" s="2">
        <v>8.41</v>
      </c>
      <c r="F17" s="11"/>
      <c r="G17" s="11"/>
    </row>
    <row r="18" spans="2:7" x14ac:dyDescent="0.2">
      <c r="B18" s="8"/>
      <c r="C18" s="8"/>
      <c r="D18" s="8">
        <v>25</v>
      </c>
      <c r="E18" s="2">
        <v>12.5</v>
      </c>
      <c r="F18" s="12">
        <f t="shared" ref="F18" si="8">AVERAGE(E18:E20)</f>
        <v>12.106666666666667</v>
      </c>
      <c r="G18" s="9">
        <f t="shared" ref="G18" si="9">3/F18</f>
        <v>0.24779735682819382</v>
      </c>
    </row>
    <row r="19" spans="2:7" x14ac:dyDescent="0.2">
      <c r="B19" s="8"/>
      <c r="C19" s="8"/>
      <c r="D19" s="8"/>
      <c r="E19" s="2">
        <v>11.99</v>
      </c>
      <c r="F19" s="10"/>
      <c r="G19" s="10"/>
    </row>
    <row r="20" spans="2:7" x14ac:dyDescent="0.2">
      <c r="B20" s="8"/>
      <c r="C20" s="8"/>
      <c r="D20" s="8"/>
      <c r="E20" s="2">
        <v>11.83</v>
      </c>
      <c r="F20" s="11"/>
      <c r="G20" s="11"/>
    </row>
  </sheetData>
  <mergeCells count="20">
    <mergeCell ref="G9:G11"/>
    <mergeCell ref="G12:G14"/>
    <mergeCell ref="G15:G17"/>
    <mergeCell ref="G18:G20"/>
    <mergeCell ref="G3:G5"/>
    <mergeCell ref="B3:B20"/>
    <mergeCell ref="C3:C20"/>
    <mergeCell ref="F3:F5"/>
    <mergeCell ref="F6:F8"/>
    <mergeCell ref="F9:F11"/>
    <mergeCell ref="F12:F14"/>
    <mergeCell ref="F15:F17"/>
    <mergeCell ref="F18:F20"/>
    <mergeCell ref="D3:D5"/>
    <mergeCell ref="D6:D8"/>
    <mergeCell ref="D9:D11"/>
    <mergeCell ref="D12:D14"/>
    <mergeCell ref="D15:D17"/>
    <mergeCell ref="D18:D20"/>
    <mergeCell ref="G6:G8"/>
  </mergeCells>
  <pageMargins left="0.7" right="0.7" top="0.75" bottom="0.75" header="0.3" footer="0.3"/>
  <ignoredErrors>
    <ignoredError sqref="F3 F6 F9 F12 F15 F18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1BF72-C9E0-F848-A1F8-3571E9B87CDF}">
  <dimension ref="B2:G14"/>
  <sheetViews>
    <sheetView showGridLines="0" zoomScale="125" workbookViewId="0">
      <selection activeCell="G4" sqref="G4"/>
    </sheetView>
  </sheetViews>
  <sheetFormatPr baseColWidth="10" defaultRowHeight="16" x14ac:dyDescent="0.2"/>
  <cols>
    <col min="1" max="1" width="3.6640625" customWidth="1"/>
    <col min="2" max="2" width="17.5" customWidth="1"/>
    <col min="3" max="3" width="15" customWidth="1"/>
    <col min="4" max="4" width="15.5" customWidth="1"/>
    <col min="5" max="5" width="2.83203125" customWidth="1"/>
    <col min="6" max="6" width="12.1640625" customWidth="1"/>
    <col min="7" max="7" width="15" customWidth="1"/>
  </cols>
  <sheetData>
    <row r="2" spans="2:7" x14ac:dyDescent="0.2">
      <c r="B2" s="6" t="s">
        <v>9</v>
      </c>
      <c r="C2" s="6" t="s">
        <v>10</v>
      </c>
      <c r="D2" s="6" t="s">
        <v>11</v>
      </c>
    </row>
    <row r="3" spans="2:7" x14ac:dyDescent="0.2">
      <c r="B3" s="8">
        <v>250</v>
      </c>
      <c r="C3" s="1">
        <v>0.28000000000000003</v>
      </c>
      <c r="D3" s="8">
        <f>AVERAGE(C3:C5)</f>
        <v>0.27666666666666667</v>
      </c>
      <c r="F3" s="3" t="s">
        <v>2</v>
      </c>
      <c r="G3" s="7">
        <v>1</v>
      </c>
    </row>
    <row r="4" spans="2:7" x14ac:dyDescent="0.2">
      <c r="B4" s="8"/>
      <c r="C4" s="1">
        <v>0.27500000000000002</v>
      </c>
      <c r="D4" s="8"/>
      <c r="F4" s="3" t="s">
        <v>12</v>
      </c>
      <c r="G4" s="7">
        <f>((G3-0.0482)/0.001) + (G3*11)</f>
        <v>962.8</v>
      </c>
    </row>
    <row r="5" spans="2:7" x14ac:dyDescent="0.2">
      <c r="B5" s="8"/>
      <c r="C5" s="1">
        <v>0.27500000000000002</v>
      </c>
      <c r="D5" s="8"/>
    </row>
    <row r="6" spans="2:7" x14ac:dyDescent="0.2">
      <c r="B6" s="8">
        <v>500</v>
      </c>
      <c r="C6" s="1">
        <v>0.55000000000000004</v>
      </c>
      <c r="D6" s="8">
        <f t="shared" ref="D6" si="0">AVERAGE(C6:C8)</f>
        <v>0.54666666666666675</v>
      </c>
    </row>
    <row r="7" spans="2:7" x14ac:dyDescent="0.2">
      <c r="B7" s="8"/>
      <c r="C7" s="1">
        <v>0.54</v>
      </c>
      <c r="D7" s="8"/>
    </row>
    <row r="8" spans="2:7" x14ac:dyDescent="0.2">
      <c r="B8" s="8"/>
      <c r="C8" s="1">
        <v>0.55000000000000004</v>
      </c>
      <c r="D8" s="8"/>
    </row>
    <row r="9" spans="2:7" x14ac:dyDescent="0.2">
      <c r="B9" s="8">
        <v>750</v>
      </c>
      <c r="C9" s="1">
        <v>0.78</v>
      </c>
      <c r="D9" s="8">
        <f t="shared" ref="D9" si="1">AVERAGE(C9:C11)</f>
        <v>0.77833333333333332</v>
      </c>
    </row>
    <row r="10" spans="2:7" x14ac:dyDescent="0.2">
      <c r="B10" s="8"/>
      <c r="C10" s="1">
        <v>0.78500000000000003</v>
      </c>
      <c r="D10" s="8"/>
    </row>
    <row r="11" spans="2:7" x14ac:dyDescent="0.2">
      <c r="B11" s="8"/>
      <c r="C11" s="1">
        <v>0.77</v>
      </c>
      <c r="D11" s="8"/>
    </row>
    <row r="12" spans="2:7" x14ac:dyDescent="0.2">
      <c r="B12" s="8">
        <v>1000</v>
      </c>
      <c r="C12" s="1">
        <v>1</v>
      </c>
      <c r="D12" s="8">
        <f t="shared" ref="D12" si="2">AVERAGE(C12:C14)</f>
        <v>1.0033333333333332</v>
      </c>
    </row>
    <row r="13" spans="2:7" x14ac:dyDescent="0.2">
      <c r="B13" s="8"/>
      <c r="C13" s="1">
        <v>1.0049999999999999</v>
      </c>
      <c r="D13" s="8"/>
    </row>
    <row r="14" spans="2:7" x14ac:dyDescent="0.2">
      <c r="B14" s="8"/>
      <c r="C14" s="1">
        <v>1.0049999999999999</v>
      </c>
      <c r="D14" s="8"/>
    </row>
  </sheetData>
  <mergeCells count="8">
    <mergeCell ref="D3:D5"/>
    <mergeCell ref="D6:D8"/>
    <mergeCell ref="D9:D11"/>
    <mergeCell ref="D12:D14"/>
    <mergeCell ref="B3:B5"/>
    <mergeCell ref="B6:B8"/>
    <mergeCell ref="B9:B11"/>
    <mergeCell ref="B12:B1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5B844-EAA3-3C44-B950-B2BC289A19FF}">
  <dimension ref="B2:G14"/>
  <sheetViews>
    <sheetView showGridLines="0" zoomScale="126" workbookViewId="0">
      <selection activeCell="H26" sqref="H26"/>
    </sheetView>
  </sheetViews>
  <sheetFormatPr baseColWidth="10" defaultRowHeight="16" x14ac:dyDescent="0.2"/>
  <cols>
    <col min="1" max="1" width="3.6640625" customWidth="1"/>
    <col min="2" max="2" width="17.5" customWidth="1"/>
    <col min="3" max="3" width="15" customWidth="1"/>
    <col min="4" max="4" width="15.5" customWidth="1"/>
    <col min="5" max="5" width="2.83203125" customWidth="1"/>
    <col min="6" max="6" width="12.1640625" customWidth="1"/>
    <col min="7" max="7" width="15" customWidth="1"/>
  </cols>
  <sheetData>
    <row r="2" spans="2:7" x14ac:dyDescent="0.2">
      <c r="B2" s="6" t="s">
        <v>9</v>
      </c>
      <c r="C2" s="6" t="s">
        <v>10</v>
      </c>
      <c r="D2" s="6" t="s">
        <v>11</v>
      </c>
    </row>
    <row r="3" spans="2:7" x14ac:dyDescent="0.2">
      <c r="B3" s="8"/>
      <c r="C3" s="1"/>
      <c r="D3" s="8" t="e">
        <f>AVERAGE(C3:C5)</f>
        <v>#DIV/0!</v>
      </c>
      <c r="F3" s="3" t="s">
        <v>2</v>
      </c>
      <c r="G3" s="7">
        <v>0.5</v>
      </c>
    </row>
    <row r="4" spans="2:7" x14ac:dyDescent="0.2">
      <c r="B4" s="8"/>
      <c r="C4" s="1"/>
      <c r="D4" s="8"/>
      <c r="F4" s="3" t="s">
        <v>12</v>
      </c>
      <c r="G4" s="7">
        <f>G3*1010</f>
        <v>505</v>
      </c>
    </row>
    <row r="5" spans="2:7" x14ac:dyDescent="0.2">
      <c r="B5" s="8"/>
      <c r="C5" s="1"/>
      <c r="D5" s="8"/>
    </row>
    <row r="6" spans="2:7" x14ac:dyDescent="0.2">
      <c r="B6" s="8">
        <v>505</v>
      </c>
      <c r="C6" s="1">
        <v>0.5</v>
      </c>
      <c r="D6" s="8">
        <f t="shared" ref="D6" si="0">AVERAGE(C6:C8)</f>
        <v>0.5</v>
      </c>
    </row>
    <row r="7" spans="2:7" x14ac:dyDescent="0.2">
      <c r="B7" s="8"/>
      <c r="C7" s="1">
        <v>0.5</v>
      </c>
      <c r="D7" s="8"/>
    </row>
    <row r="8" spans="2:7" x14ac:dyDescent="0.2">
      <c r="B8" s="8"/>
      <c r="C8" s="1">
        <v>0.5</v>
      </c>
      <c r="D8" s="8"/>
    </row>
    <row r="9" spans="2:7" x14ac:dyDescent="0.2">
      <c r="B9" s="8"/>
      <c r="C9" s="1"/>
      <c r="D9" s="8" t="e">
        <f t="shared" ref="D9" si="1">AVERAGE(C9:C11)</f>
        <v>#DIV/0!</v>
      </c>
    </row>
    <row r="10" spans="2:7" x14ac:dyDescent="0.2">
      <c r="B10" s="8"/>
      <c r="C10" s="1"/>
      <c r="D10" s="8"/>
    </row>
    <row r="11" spans="2:7" x14ac:dyDescent="0.2">
      <c r="B11" s="8"/>
      <c r="C11" s="1"/>
      <c r="D11" s="8"/>
    </row>
    <row r="12" spans="2:7" x14ac:dyDescent="0.2">
      <c r="B12" s="8">
        <v>1010</v>
      </c>
      <c r="C12" s="1">
        <v>1</v>
      </c>
      <c r="D12" s="8">
        <f t="shared" ref="D12" si="2">AVERAGE(C12:C14)</f>
        <v>1</v>
      </c>
    </row>
    <row r="13" spans="2:7" x14ac:dyDescent="0.2">
      <c r="B13" s="8"/>
      <c r="C13" s="1">
        <v>1</v>
      </c>
      <c r="D13" s="8"/>
    </row>
    <row r="14" spans="2:7" x14ac:dyDescent="0.2">
      <c r="B14" s="8"/>
      <c r="C14" s="1">
        <v>1</v>
      </c>
      <c r="D14" s="8"/>
    </row>
  </sheetData>
  <mergeCells count="8">
    <mergeCell ref="B12:B14"/>
    <mergeCell ref="D12:D14"/>
    <mergeCell ref="B3:B5"/>
    <mergeCell ref="D3:D5"/>
    <mergeCell ref="B6:B8"/>
    <mergeCell ref="D6:D8"/>
    <mergeCell ref="B9:B11"/>
    <mergeCell ref="D9:D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EEC0-B386-684E-9E68-3B0CFE0ABCEC}">
  <dimension ref="B2:K32"/>
  <sheetViews>
    <sheetView showGridLines="0" tabSelected="1" zoomScale="109" workbookViewId="0">
      <selection activeCell="F21" sqref="F21"/>
    </sheetView>
  </sheetViews>
  <sheetFormatPr baseColWidth="10" defaultRowHeight="16" x14ac:dyDescent="0.2"/>
  <cols>
    <col min="1" max="1" width="3.6640625" style="15" customWidth="1"/>
    <col min="2" max="2" width="14.33203125" style="15" customWidth="1"/>
    <col min="3" max="3" width="17.5" style="15" customWidth="1"/>
    <col min="4" max="4" width="15" style="15" customWidth="1"/>
    <col min="5" max="8" width="15.5" style="15" customWidth="1"/>
    <col min="9" max="9" width="2.83203125" style="15" customWidth="1"/>
    <col min="10" max="10" width="14.33203125" style="15" customWidth="1"/>
    <col min="11" max="11" width="17.33203125" style="15" customWidth="1"/>
    <col min="12" max="16384" width="10.83203125" style="15"/>
  </cols>
  <sheetData>
    <row r="2" spans="2:11" x14ac:dyDescent="0.2">
      <c r="B2" s="3" t="s">
        <v>16</v>
      </c>
      <c r="C2" s="3" t="s">
        <v>9</v>
      </c>
      <c r="D2" s="3" t="s">
        <v>10</v>
      </c>
      <c r="E2" s="3" t="s">
        <v>11</v>
      </c>
      <c r="F2" s="3" t="s">
        <v>13</v>
      </c>
      <c r="G2" s="3" t="s">
        <v>14</v>
      </c>
      <c r="H2" s="3" t="s">
        <v>15</v>
      </c>
    </row>
    <row r="3" spans="2:11" x14ac:dyDescent="0.2">
      <c r="B3" s="9">
        <v>20</v>
      </c>
      <c r="C3" s="22">
        <v>300</v>
      </c>
      <c r="D3" s="23">
        <v>0.27500000000000002</v>
      </c>
      <c r="E3" s="22">
        <f>AVERAGE(D3:D5)</f>
        <v>0.27166666666666667</v>
      </c>
      <c r="F3" s="23">
        <v>1.06</v>
      </c>
      <c r="G3" s="24">
        <f>AVERAGE(F3:F5)</f>
        <v>1.0999999999999999</v>
      </c>
      <c r="H3" s="24">
        <f>E3/G3</f>
        <v>0.24696969696969701</v>
      </c>
      <c r="J3" s="13" t="s">
        <v>2</v>
      </c>
      <c r="K3" s="16">
        <v>1.4</v>
      </c>
    </row>
    <row r="4" spans="2:11" x14ac:dyDescent="0.2">
      <c r="B4" s="10"/>
      <c r="C4" s="22"/>
      <c r="D4" s="23">
        <v>0.27500000000000002</v>
      </c>
      <c r="E4" s="22"/>
      <c r="F4" s="23">
        <v>1.1100000000000001</v>
      </c>
      <c r="G4" s="25"/>
      <c r="H4" s="25"/>
      <c r="J4" s="13" t="s">
        <v>12</v>
      </c>
      <c r="K4" s="16">
        <f>(K3-0.0034)/0.0009 + 50</f>
        <v>1601.7777777777776</v>
      </c>
    </row>
    <row r="5" spans="2:11" x14ac:dyDescent="0.2">
      <c r="B5" s="10"/>
      <c r="C5" s="22"/>
      <c r="D5" s="23">
        <v>0.26500000000000001</v>
      </c>
      <c r="E5" s="22"/>
      <c r="F5" s="23">
        <v>1.1299999999999999</v>
      </c>
      <c r="G5" s="26"/>
      <c r="H5" s="26"/>
    </row>
    <row r="6" spans="2:11" x14ac:dyDescent="0.2">
      <c r="B6" s="10"/>
      <c r="C6" s="22">
        <v>600</v>
      </c>
      <c r="D6" s="23">
        <v>0.53500000000000003</v>
      </c>
      <c r="E6" s="22">
        <f t="shared" ref="E6" si="0">AVERAGE(D6:D8)</f>
        <v>0.53166666666666673</v>
      </c>
      <c r="F6" s="23">
        <v>2.16</v>
      </c>
      <c r="G6" s="24">
        <f t="shared" ref="G6" si="1">AVERAGE(F6:F8)</f>
        <v>2.0866666666666669</v>
      </c>
      <c r="H6" s="24">
        <f t="shared" ref="H6" si="2">E6/G6</f>
        <v>0.25479233226837061</v>
      </c>
      <c r="J6" s="14" t="s">
        <v>17</v>
      </c>
      <c r="K6" s="17">
        <f>AVERAGE(H3:H20,H24:H32)</f>
        <v>0.26018951225190562</v>
      </c>
    </row>
    <row r="7" spans="2:11" x14ac:dyDescent="0.2">
      <c r="B7" s="10"/>
      <c r="C7" s="22"/>
      <c r="D7" s="23">
        <v>0.52</v>
      </c>
      <c r="E7" s="22"/>
      <c r="F7" s="23">
        <v>2.06</v>
      </c>
      <c r="G7" s="25"/>
      <c r="H7" s="25"/>
    </row>
    <row r="8" spans="2:11" x14ac:dyDescent="0.2">
      <c r="B8" s="10"/>
      <c r="C8" s="22"/>
      <c r="D8" s="23">
        <v>0.54</v>
      </c>
      <c r="E8" s="22"/>
      <c r="F8" s="23">
        <v>2.04</v>
      </c>
      <c r="G8" s="26"/>
      <c r="H8" s="26"/>
    </row>
    <row r="9" spans="2:11" x14ac:dyDescent="0.2">
      <c r="B9" s="10"/>
      <c r="C9" s="22">
        <v>900</v>
      </c>
      <c r="D9" s="23">
        <v>0.8</v>
      </c>
      <c r="E9" s="22">
        <f t="shared" ref="E9" si="3">AVERAGE(D9:D11)</f>
        <v>0.79333333333333333</v>
      </c>
      <c r="F9" s="23">
        <v>3.13</v>
      </c>
      <c r="G9" s="24">
        <f t="shared" ref="G9" si="4">AVERAGE(F9:F11)</f>
        <v>3.27</v>
      </c>
      <c r="H9" s="24">
        <f t="shared" ref="H9" si="5">E9/G9</f>
        <v>0.24260958205912334</v>
      </c>
    </row>
    <row r="10" spans="2:11" x14ac:dyDescent="0.2">
      <c r="B10" s="10"/>
      <c r="C10" s="22"/>
      <c r="D10" s="23">
        <v>0.79</v>
      </c>
      <c r="E10" s="22"/>
      <c r="F10" s="23">
        <v>3.21</v>
      </c>
      <c r="G10" s="25"/>
      <c r="H10" s="25"/>
    </row>
    <row r="11" spans="2:11" x14ac:dyDescent="0.2">
      <c r="B11" s="10"/>
      <c r="C11" s="22"/>
      <c r="D11" s="23">
        <v>0.79</v>
      </c>
      <c r="E11" s="22"/>
      <c r="F11" s="23">
        <v>3.47</v>
      </c>
      <c r="G11" s="26"/>
      <c r="H11" s="26"/>
    </row>
    <row r="12" spans="2:11" x14ac:dyDescent="0.2">
      <c r="B12" s="10"/>
      <c r="C12" s="22">
        <v>1200</v>
      </c>
      <c r="D12" s="23">
        <v>1.0349999999999999</v>
      </c>
      <c r="E12" s="22">
        <f>AVERAGE(D12:D14)</f>
        <v>1.0449999999999999</v>
      </c>
      <c r="F12" s="23">
        <v>4.1500000000000004</v>
      </c>
      <c r="G12" s="24">
        <f>AVERAGE(F12:F14)</f>
        <v>4.1099999999999994</v>
      </c>
      <c r="H12" s="24">
        <f t="shared" ref="H12" si="6">E12/G12</f>
        <v>0.2542579075425791</v>
      </c>
    </row>
    <row r="13" spans="2:11" x14ac:dyDescent="0.2">
      <c r="B13" s="10"/>
      <c r="C13" s="22"/>
      <c r="D13" s="23">
        <v>1.0449999999999999</v>
      </c>
      <c r="E13" s="22"/>
      <c r="F13" s="23">
        <v>4.05</v>
      </c>
      <c r="G13" s="25"/>
      <c r="H13" s="25"/>
    </row>
    <row r="14" spans="2:11" x14ac:dyDescent="0.2">
      <c r="B14" s="10"/>
      <c r="C14" s="22"/>
      <c r="D14" s="23">
        <v>1.0549999999999999</v>
      </c>
      <c r="E14" s="22"/>
      <c r="F14" s="23">
        <v>4.13</v>
      </c>
      <c r="G14" s="26"/>
      <c r="H14" s="26"/>
    </row>
    <row r="15" spans="2:11" x14ac:dyDescent="0.2">
      <c r="B15" s="10"/>
      <c r="C15" s="24">
        <v>1500</v>
      </c>
      <c r="D15" s="23">
        <v>1.325</v>
      </c>
      <c r="E15" s="22">
        <f t="shared" ref="E15" si="7">AVERAGE(D15:D17)</f>
        <v>1.3216666666666665</v>
      </c>
      <c r="F15" s="23">
        <v>4.97</v>
      </c>
      <c r="G15" s="24">
        <f t="shared" ref="G15" si="8">AVERAGE(F15:F17)</f>
        <v>5.0299999999999994</v>
      </c>
      <c r="H15" s="24">
        <f t="shared" ref="H15:H18" si="9">E15/G15</f>
        <v>0.26275679257786616</v>
      </c>
    </row>
    <row r="16" spans="2:11" x14ac:dyDescent="0.2">
      <c r="B16" s="10"/>
      <c r="C16" s="25"/>
      <c r="D16" s="23">
        <v>1.32</v>
      </c>
      <c r="E16" s="22"/>
      <c r="F16" s="23">
        <v>5.0199999999999996</v>
      </c>
      <c r="G16" s="25"/>
      <c r="H16" s="25"/>
    </row>
    <row r="17" spans="2:8" x14ac:dyDescent="0.2">
      <c r="B17" s="10"/>
      <c r="C17" s="26"/>
      <c r="D17" s="23">
        <v>1.32</v>
      </c>
      <c r="E17" s="22"/>
      <c r="F17" s="23">
        <v>5.0999999999999996</v>
      </c>
      <c r="G17" s="26"/>
      <c r="H17" s="26"/>
    </row>
    <row r="18" spans="2:8" x14ac:dyDescent="0.2">
      <c r="B18" s="10"/>
      <c r="C18" s="24">
        <v>1800</v>
      </c>
      <c r="D18" s="23">
        <v>1.585</v>
      </c>
      <c r="E18" s="22">
        <f t="shared" ref="E18" si="10">AVERAGE(D18:D20)</f>
        <v>1.5883333333333332</v>
      </c>
      <c r="F18" s="23">
        <v>5.91</v>
      </c>
      <c r="G18" s="24">
        <f t="shared" ref="G18" si="11">AVERAGE(F18:F20)</f>
        <v>5.9200000000000008</v>
      </c>
      <c r="H18" s="24">
        <f t="shared" si="9"/>
        <v>0.26829954954954949</v>
      </c>
    </row>
    <row r="19" spans="2:8" x14ac:dyDescent="0.2">
      <c r="B19" s="10"/>
      <c r="C19" s="25"/>
      <c r="D19" s="23">
        <v>1.585</v>
      </c>
      <c r="E19" s="22"/>
      <c r="F19" s="23">
        <v>5.9</v>
      </c>
      <c r="G19" s="25"/>
      <c r="H19" s="25"/>
    </row>
    <row r="20" spans="2:8" x14ac:dyDescent="0.2">
      <c r="B20" s="10"/>
      <c r="C20" s="26"/>
      <c r="D20" s="23">
        <v>1.595</v>
      </c>
      <c r="E20" s="22"/>
      <c r="F20" s="23">
        <v>5.95</v>
      </c>
      <c r="G20" s="26"/>
      <c r="H20" s="26"/>
    </row>
    <row r="21" spans="2:8" x14ac:dyDescent="0.2">
      <c r="B21" s="10"/>
      <c r="C21" s="27">
        <v>1439</v>
      </c>
      <c r="D21" s="28">
        <v>1.2649999999999999</v>
      </c>
      <c r="E21" s="27">
        <f t="shared" ref="E21" si="12">AVERAGE(D21:D23)</f>
        <v>1.27</v>
      </c>
      <c r="F21" s="18"/>
      <c r="G21" s="19"/>
      <c r="H21" s="19" t="e">
        <f t="shared" ref="H21:H27" si="13">E21/G21</f>
        <v>#DIV/0!</v>
      </c>
    </row>
    <row r="22" spans="2:8" x14ac:dyDescent="0.2">
      <c r="B22" s="10"/>
      <c r="C22" s="27"/>
      <c r="D22" s="28">
        <v>1.27</v>
      </c>
      <c r="E22" s="27"/>
      <c r="F22" s="18"/>
      <c r="G22" s="20"/>
      <c r="H22" s="20"/>
    </row>
    <row r="23" spans="2:8" x14ac:dyDescent="0.2">
      <c r="B23" s="10"/>
      <c r="C23" s="27"/>
      <c r="D23" s="28">
        <v>1.2749999999999999</v>
      </c>
      <c r="E23" s="27"/>
      <c r="F23" s="18"/>
      <c r="G23" s="21"/>
      <c r="H23" s="21"/>
    </row>
    <row r="24" spans="2:8" x14ac:dyDescent="0.2">
      <c r="B24" s="10"/>
      <c r="C24" s="29">
        <v>1550</v>
      </c>
      <c r="D24" s="28">
        <v>1.365</v>
      </c>
      <c r="E24" s="27">
        <f t="shared" ref="E24" si="14">AVERAGE(D24:D26)</f>
        <v>1.3666666666666669</v>
      </c>
      <c r="F24" s="28">
        <v>4.97</v>
      </c>
      <c r="G24" s="29">
        <f t="shared" ref="G21:G24" si="15">AVERAGE(F24:F26)</f>
        <v>5.0766666666666671</v>
      </c>
      <c r="H24" s="29">
        <f t="shared" si="13"/>
        <v>0.26920551543007226</v>
      </c>
    </row>
    <row r="25" spans="2:8" x14ac:dyDescent="0.2">
      <c r="B25" s="10"/>
      <c r="C25" s="30"/>
      <c r="D25" s="28">
        <v>1.37</v>
      </c>
      <c r="E25" s="27"/>
      <c r="F25" s="28">
        <v>5.13</v>
      </c>
      <c r="G25" s="30"/>
      <c r="H25" s="30"/>
    </row>
    <row r="26" spans="2:8" x14ac:dyDescent="0.2">
      <c r="B26" s="10"/>
      <c r="C26" s="31"/>
      <c r="D26" s="28">
        <v>1.365</v>
      </c>
      <c r="E26" s="27"/>
      <c r="F26" s="28">
        <v>5.13</v>
      </c>
      <c r="G26" s="31"/>
      <c r="H26" s="31"/>
    </row>
    <row r="27" spans="2:8" x14ac:dyDescent="0.2">
      <c r="B27" s="10"/>
      <c r="C27" s="29">
        <v>1661</v>
      </c>
      <c r="D27" s="28">
        <v>1.47</v>
      </c>
      <c r="E27" s="27">
        <f t="shared" ref="E27" si="16">AVERAGE(D27:D29)</f>
        <v>1.4683333333333335</v>
      </c>
      <c r="F27" s="28">
        <v>5.5</v>
      </c>
      <c r="G27" s="29">
        <f t="shared" ref="G27" si="17">AVERAGE(F27:F29)</f>
        <v>5.4200000000000008</v>
      </c>
      <c r="H27" s="29">
        <f t="shared" si="13"/>
        <v>0.27091020910209102</v>
      </c>
    </row>
    <row r="28" spans="2:8" x14ac:dyDescent="0.2">
      <c r="B28" s="10"/>
      <c r="C28" s="30"/>
      <c r="D28" s="32">
        <v>1.4750000000000001</v>
      </c>
      <c r="E28" s="27"/>
      <c r="F28" s="28">
        <v>5.4</v>
      </c>
      <c r="G28" s="30"/>
      <c r="H28" s="30"/>
    </row>
    <row r="29" spans="2:8" x14ac:dyDescent="0.2">
      <c r="B29" s="10"/>
      <c r="C29" s="31"/>
      <c r="D29" s="28">
        <v>1.46</v>
      </c>
      <c r="E29" s="27"/>
      <c r="F29" s="28">
        <v>5.36</v>
      </c>
      <c r="G29" s="31"/>
      <c r="H29" s="31"/>
    </row>
    <row r="30" spans="2:8" x14ac:dyDescent="0.2">
      <c r="B30" s="10"/>
      <c r="C30" s="29">
        <v>1328</v>
      </c>
      <c r="D30" s="28">
        <v>1.17</v>
      </c>
      <c r="E30" s="27">
        <f t="shared" ref="E30" si="18">AVERAGE(D30:D32)</f>
        <v>1.171</v>
      </c>
      <c r="F30" s="28">
        <v>4.32</v>
      </c>
      <c r="G30" s="29">
        <f t="shared" ref="G30" si="19">AVERAGE(F30:F32)</f>
        <v>4.3066666666666666</v>
      </c>
      <c r="H30" s="29">
        <f t="shared" ref="H30" si="20">E30/G30</f>
        <v>0.27190402476780184</v>
      </c>
    </row>
    <row r="31" spans="2:8" x14ac:dyDescent="0.2">
      <c r="B31" s="10"/>
      <c r="C31" s="30"/>
      <c r="D31" s="28">
        <v>1.18</v>
      </c>
      <c r="E31" s="27"/>
      <c r="F31" s="28">
        <v>4.2699999999999996</v>
      </c>
      <c r="G31" s="30"/>
      <c r="H31" s="30"/>
    </row>
    <row r="32" spans="2:8" x14ac:dyDescent="0.2">
      <c r="B32" s="11"/>
      <c r="C32" s="31"/>
      <c r="D32" s="28">
        <v>1.163</v>
      </c>
      <c r="E32" s="27"/>
      <c r="F32" s="28">
        <v>4.33</v>
      </c>
      <c r="G32" s="31"/>
      <c r="H32" s="31"/>
    </row>
  </sheetData>
  <mergeCells count="41">
    <mergeCell ref="H24:H26"/>
    <mergeCell ref="H27:H29"/>
    <mergeCell ref="C30:C32"/>
    <mergeCell ref="E30:E32"/>
    <mergeCell ref="G30:G32"/>
    <mergeCell ref="B3:B32"/>
    <mergeCell ref="H30:H32"/>
    <mergeCell ref="C24:C26"/>
    <mergeCell ref="E24:E26"/>
    <mergeCell ref="G21:G23"/>
    <mergeCell ref="G24:G26"/>
    <mergeCell ref="C27:C29"/>
    <mergeCell ref="E27:E29"/>
    <mergeCell ref="G27:G29"/>
    <mergeCell ref="G15:G17"/>
    <mergeCell ref="G18:G20"/>
    <mergeCell ref="H15:H17"/>
    <mergeCell ref="H18:H20"/>
    <mergeCell ref="C18:C20"/>
    <mergeCell ref="C21:C23"/>
    <mergeCell ref="E21:E23"/>
    <mergeCell ref="H21:H23"/>
    <mergeCell ref="H3:H5"/>
    <mergeCell ref="H6:H8"/>
    <mergeCell ref="H9:H11"/>
    <mergeCell ref="H12:H14"/>
    <mergeCell ref="C15:C17"/>
    <mergeCell ref="E15:E17"/>
    <mergeCell ref="E18:E20"/>
    <mergeCell ref="C12:C14"/>
    <mergeCell ref="E12:E14"/>
    <mergeCell ref="G3:G5"/>
    <mergeCell ref="G6:G8"/>
    <mergeCell ref="G9:G11"/>
    <mergeCell ref="G12:G14"/>
    <mergeCell ref="C3:C5"/>
    <mergeCell ref="E3:E5"/>
    <mergeCell ref="C6:C8"/>
    <mergeCell ref="E6:E8"/>
    <mergeCell ref="C9:C11"/>
    <mergeCell ref="E9:E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cmo speed</vt:lpstr>
      <vt:lpstr>quad encoder distance </vt:lpstr>
      <vt:lpstr>benchmark speed quad values</vt:lpstr>
      <vt:lpstr>30 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Madison Taylor</dc:creator>
  <cp:lastModifiedBy>Madison Taylor</cp:lastModifiedBy>
  <dcterms:created xsi:type="dcterms:W3CDTF">2026-09-22T02:51:36Z</dcterms:created>
  <dcterms:modified xsi:type="dcterms:W3CDTF">2026-09-30T04:16:25Z</dcterms:modified>
</cp:coreProperties>
</file>